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Desktop\"/>
    </mc:Choice>
  </mc:AlternateContent>
  <xr:revisionPtr revIDLastSave="0" documentId="13_ncr:1_{3EB943AD-4623-4F0C-B36E-0A7294177B13}" xr6:coauthVersionLast="47" xr6:coauthVersionMax="47" xr10:uidLastSave="{00000000-0000-0000-0000-000000000000}"/>
  <bookViews>
    <workbookView xWindow="34815" yWindow="0" windowWidth="16890" windowHeight="20985" firstSheet="2" activeTab="2" xr2:uid="{0C6473F4-D9FE-40CA-9A5C-6AA089E5DB48}"/>
  </bookViews>
  <sheets>
    <sheet name="WASM_Objekterkennung" sheetId="1" r:id="rId1"/>
    <sheet name="WebGPU_Objekterkennung" sheetId="2" r:id="rId2"/>
    <sheet name="WebGPU_Übersetzung" sheetId="3" r:id="rId3"/>
    <sheet name="WASM_Übersetzung"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 r="C13" i="3"/>
  <c r="B13" i="3"/>
  <c r="F11" i="3"/>
  <c r="E11" i="3"/>
  <c r="F10" i="3"/>
  <c r="E10" i="3"/>
  <c r="F9" i="3"/>
  <c r="E9" i="3"/>
  <c r="F8" i="3"/>
  <c r="E8" i="3"/>
  <c r="F7" i="3"/>
  <c r="E7" i="3"/>
  <c r="F6" i="3"/>
  <c r="E6" i="3"/>
  <c r="F5" i="3"/>
  <c r="E5" i="3"/>
  <c r="F4" i="3"/>
  <c r="E4" i="3"/>
  <c r="F3" i="3"/>
  <c r="E3" i="3"/>
  <c r="F2" i="3"/>
  <c r="F13" i="3" s="1"/>
  <c r="E2" i="3"/>
  <c r="E13" i="3" s="1"/>
  <c r="E13" i="4"/>
  <c r="E2" i="4"/>
  <c r="E3" i="4"/>
  <c r="E4" i="4"/>
  <c r="E5" i="4"/>
  <c r="E6" i="4"/>
  <c r="E7" i="4"/>
  <c r="E8" i="4"/>
  <c r="E9" i="4"/>
  <c r="E10" i="4"/>
  <c r="E11" i="4"/>
  <c r="F3" i="4"/>
  <c r="F4" i="4"/>
  <c r="F5" i="4"/>
  <c r="F6" i="4"/>
  <c r="F7" i="4"/>
  <c r="F8" i="4"/>
  <c r="F9" i="4"/>
  <c r="F10" i="4"/>
  <c r="F11" i="4"/>
  <c r="F2" i="4"/>
  <c r="F13" i="4" s="1"/>
  <c r="C13" i="4"/>
  <c r="D13" i="4"/>
  <c r="B13" i="4"/>
  <c r="L11" i="1"/>
  <c r="L10" i="1"/>
  <c r="L9" i="1"/>
  <c r="L8" i="1"/>
  <c r="L7" i="1"/>
  <c r="L6" i="1"/>
  <c r="L5" i="1"/>
  <c r="L4" i="1"/>
  <c r="L3" i="1"/>
  <c r="L2" i="1"/>
  <c r="L2" i="2"/>
  <c r="L3" i="2"/>
  <c r="L4" i="2"/>
  <c r="L5" i="2"/>
  <c r="L6" i="2"/>
  <c r="L7" i="2"/>
  <c r="L8" i="2"/>
  <c r="L9" i="2"/>
  <c r="L10" i="2"/>
  <c r="L11" i="2"/>
  <c r="K2" i="2"/>
  <c r="K11" i="2"/>
  <c r="K10" i="2"/>
  <c r="K9" i="2"/>
  <c r="K8" i="2"/>
  <c r="K7" i="2"/>
  <c r="K6" i="2"/>
  <c r="K5" i="2"/>
  <c r="K4" i="2"/>
  <c r="K3" i="2"/>
  <c r="K3" i="1"/>
  <c r="K4" i="1"/>
  <c r="K5" i="1"/>
  <c r="K6" i="1"/>
  <c r="K7" i="1"/>
  <c r="K8" i="1"/>
  <c r="K9" i="1"/>
  <c r="K10" i="1"/>
  <c r="K11" i="1"/>
  <c r="K2" i="1"/>
  <c r="M4" i="2" l="1"/>
  <c r="N4" i="2"/>
  <c r="M11" i="1"/>
  <c r="N8" i="2"/>
  <c r="M3" i="1"/>
  <c r="M8" i="2"/>
  <c r="K13" i="1"/>
  <c r="L13" i="1"/>
  <c r="M6" i="2"/>
  <c r="N3" i="1"/>
  <c r="M7" i="1"/>
  <c r="N2" i="1"/>
  <c r="N5" i="2"/>
  <c r="M5" i="1"/>
  <c r="M9" i="1"/>
  <c r="N6" i="2"/>
  <c r="M10" i="2"/>
  <c r="M2" i="1"/>
  <c r="N11" i="1"/>
  <c r="N9" i="1"/>
  <c r="N10" i="1"/>
  <c r="N7" i="1"/>
  <c r="N2" i="2"/>
  <c r="M11" i="2"/>
  <c r="M10" i="1"/>
  <c r="N7" i="2"/>
  <c r="N3" i="2"/>
  <c r="M5" i="2"/>
  <c r="M7" i="2"/>
  <c r="M4" i="1"/>
  <c r="M8" i="1"/>
  <c r="N5" i="1"/>
  <c r="M9" i="2"/>
  <c r="M6" i="1"/>
  <c r="N6" i="1"/>
  <c r="N4" i="1"/>
  <c r="N11" i="2"/>
  <c r="N10" i="2"/>
  <c r="N8" i="1"/>
  <c r="N9" i="2"/>
  <c r="M3" i="2"/>
  <c r="M2" i="2"/>
  <c r="L13" i="2"/>
  <c r="K13" i="2"/>
  <c r="N13" i="2" l="1"/>
  <c r="N13" i="1"/>
  <c r="M13" i="1"/>
  <c r="M13" i="2"/>
</calcChain>
</file>

<file path=xl/sharedStrings.xml><?xml version="1.0" encoding="utf-8"?>
<sst xmlns="http://schemas.openxmlformats.org/spreadsheetml/2006/main" count="126" uniqueCount="32">
  <si>
    <t>Inferenzzeit in ms</t>
  </si>
  <si>
    <t>Bild Nr.</t>
  </si>
  <si>
    <t xml:space="preserve"> dog</t>
  </si>
  <si>
    <t>Klasse</t>
  </si>
  <si>
    <t>chair</t>
  </si>
  <si>
    <t>dog</t>
  </si>
  <si>
    <t>cat</t>
  </si>
  <si>
    <t>Wahrscheinlichkeit 1</t>
  </si>
  <si>
    <t>Wahrscheinlichkeit 2</t>
  </si>
  <si>
    <t>Durchschnitt</t>
  </si>
  <si>
    <t>⌀ Inferenzzeit</t>
  </si>
  <si>
    <t>⌀ Wahrscheinlichkeit</t>
  </si>
  <si>
    <t>Inferenzzeit Vergleich</t>
  </si>
  <si>
    <t>Wahrscheinlichkeit Vergleich</t>
  </si>
  <si>
    <t>teddy bear</t>
  </si>
  <si>
    <t>The cat is sitting on the windowsill, watching the birds outside.</t>
  </si>
  <si>
    <t>He bought a new laptop because his old one was too slow.</t>
  </si>
  <si>
    <t>If it rains tomorrow, we will stay at home and watch a movie.</t>
  </si>
  <si>
    <t>She has been learning German for three years and speaks it fluently.</t>
  </si>
  <si>
    <t>The restaurant was fully booked, so we had to find another place to eat.</t>
  </si>
  <si>
    <t>While walking through the old town, we discovered a small café hidden in a narrow alley, where they served the best homemade pastries and freshly brewed coffee we had ever tasted.</t>
  </si>
  <si>
    <t>Although she had never tried ice skating before, she quickly got the hang of it and, by the end of the afternoon, she was gliding across the ice as if she had been practicing for years.</t>
  </si>
  <si>
    <t>The scientist explained that the experiment had to be repeated multiple times under different conditions to ensure that the results were accurate and not just a coincidence.</t>
  </si>
  <si>
    <t>After months of meticulous planning and countless hours of preparation, the team finally launched their innovative project, which aimed to revolutionize the way people interact with technology by introducing a highly intuitive and user-friendly interface that adapts to individual preferences and learning styles. Despite facing numerous challenges along the way, including technical setbacks, budget constraints, and unexpected delays, their perseverance and dedication ultimately paid off, leading to widespread recognition and positive feedback from both experts and everyday users.</t>
  </si>
  <si>
    <t>As the sun slowly set behind the distant mountains, painting the sky in shades of orange, pink, and purple, she sat on the wooden bench near the lake, reflecting on the many twists and turns her life had taken over the past few years. She had faced moments of overwhelming joy and deep sorrow, unexpected opportunities and heartbreaking disappointments, but through it all, she had learned valuable lessons about resilience, self-discovery, and the importance of cherishing every fleeting moment. As the cool evening breeze brushed against her skin, she realized that, despite all the uncertainties that still lay ahead, she was ready to embrace the future with an open heart and an unwavering determination.</t>
  </si>
  <si>
    <t>*Alle Testsätze wurden mittels OpenAI ChatGPT generiert</t>
  </si>
  <si>
    <t>Testsatz</t>
  </si>
  <si>
    <t>Inferenzzeit 1</t>
  </si>
  <si>
    <t>Inferenzzeit 2</t>
  </si>
  <si>
    <t>Inferenzzeit 3</t>
  </si>
  <si>
    <t>Mittelwert</t>
  </si>
  <si>
    <t>Standardabwichung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</si>
</sst>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 \m\s"/>
    <numFmt numFmtId="165" formatCode="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164" fontId="0" fillId="0" borderId="0" xfId="0" applyNumberFormat="1"/>
    <xf numFmtId="164" fontId="2" fillId="0" borderId="0" xfId="0" applyNumberFormat="1" applyFont="1"/>
    <xf numFmtId="165" fontId="0" fillId="0" borderId="0" xfId="1" applyNumberFormat="1" applyFont="1"/>
    <xf numFmtId="165" fontId="2" fillId="0" borderId="0" xfId="1" applyNumberFormat="1" applyFont="1"/>
    <xf numFmtId="165" fontId="0" fillId="0" borderId="0" xfId="0" applyNumberFormat="1"/>
    <xf numFmtId="165" fontId="2" fillId="0" borderId="0" xfId="0" applyNumberFormat="1" applyFont="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5830B-23EF-4918-9D6C-469AC50B5CC2}">
  <dimension ref="A1:N31"/>
  <sheetViews>
    <sheetView workbookViewId="0">
      <selection activeCell="D38" sqref="D38"/>
    </sheetView>
  </sheetViews>
  <sheetFormatPr baseColWidth="10" defaultRowHeight="15" x14ac:dyDescent="0.25"/>
  <cols>
    <col min="1" max="1" width="7.5703125" bestFit="1" customWidth="1"/>
    <col min="2" max="2" width="16.42578125" bestFit="1" customWidth="1"/>
    <col min="3" max="3" width="19.5703125" bestFit="1" customWidth="1"/>
    <col min="4" max="4" width="10.140625" bestFit="1" customWidth="1"/>
    <col min="5" max="5" width="19.5703125" bestFit="1" customWidth="1"/>
    <col min="6" max="6" width="6.85546875" bestFit="1" customWidth="1"/>
    <col min="10" max="10" width="12.7109375" bestFit="1" customWidth="1"/>
    <col min="11" max="11" width="13.42578125" bestFit="1" customWidth="1"/>
    <col min="12" max="12" width="20.28515625" bestFit="1" customWidth="1"/>
    <col min="13" max="13" width="20.7109375" bestFit="1" customWidth="1"/>
    <col min="14" max="14" width="27.7109375" bestFit="1" customWidth="1"/>
  </cols>
  <sheetData>
    <row r="1" spans="1:14" s="1" customFormat="1" x14ac:dyDescent="0.25">
      <c r="A1" s="1" t="s">
        <v>1</v>
      </c>
      <c r="B1" s="1" t="s">
        <v>0</v>
      </c>
      <c r="C1" s="1" t="s">
        <v>7</v>
      </c>
      <c r="D1" s="1" t="s">
        <v>3</v>
      </c>
      <c r="E1" s="1" t="s">
        <v>8</v>
      </c>
      <c r="F1" s="1" t="s">
        <v>3</v>
      </c>
      <c r="J1" s="1" t="s">
        <v>1</v>
      </c>
      <c r="K1" s="1" t="s">
        <v>10</v>
      </c>
      <c r="L1" s="1" t="s">
        <v>11</v>
      </c>
      <c r="M1" s="1" t="s">
        <v>12</v>
      </c>
      <c r="N1" s="1" t="s">
        <v>13</v>
      </c>
    </row>
    <row r="2" spans="1:14" x14ac:dyDescent="0.25">
      <c r="A2">
        <v>0</v>
      </c>
      <c r="B2">
        <v>7569.2</v>
      </c>
      <c r="C2">
        <v>0.98966026306152299</v>
      </c>
      <c r="D2" t="s">
        <v>4</v>
      </c>
      <c r="E2">
        <v>0.99980765581130904</v>
      </c>
      <c r="F2" t="s">
        <v>2</v>
      </c>
      <c r="J2">
        <v>0</v>
      </c>
      <c r="K2" s="2">
        <f>(VLOOKUP($J2,$A$1:$F$11,2,FALSE)+VLOOKUP($J2,$A$12:$F$21,2,FALSE)+VLOOKUP($J2,$A$22:$F$31,2,FALSE))/3</f>
        <v>7493.0666666666666</v>
      </c>
      <c r="L2" s="6">
        <f>(VLOOKUP($J2,$A$1:$F$11,3,FALSE)+VLOOKUP($J2,$A$12:$F$21,3,FALSE)+VLOOKUP($J2,$A$22:$F$31,3,FALSE)+E2+E12+E22)/6</f>
        <v>0.99473395943641607</v>
      </c>
      <c r="M2" s="2">
        <f>WASM_Objekterkennung!K2-WebGPU_Objekterkennung!K2</f>
        <v>5183.6333333333332</v>
      </c>
      <c r="N2" s="6">
        <f>WASM_Objekterkennung!L2-WebGPU_Objekterkennung!L2</f>
        <v>-1.009732484817949E-3</v>
      </c>
    </row>
    <row r="3" spans="1:14" x14ac:dyDescent="0.25">
      <c r="A3">
        <v>1</v>
      </c>
      <c r="B3">
        <v>7265.8</v>
      </c>
      <c r="C3">
        <v>0.99942249059677102</v>
      </c>
      <c r="D3" t="s">
        <v>6</v>
      </c>
      <c r="J3">
        <v>1</v>
      </c>
      <c r="K3" s="2">
        <f t="shared" ref="K3:K11" si="0">(VLOOKUP($J3,$A$1:$F$11,2,FALSE)+VLOOKUP($J3,$A$12:$F$21,2,FALSE)+VLOOKUP($J3,$A$22:$F$31,2,FALSE))/3</f>
        <v>7248.5</v>
      </c>
      <c r="L3" s="6">
        <f t="shared" ref="L3:L11" si="1">(VLOOKUP($J3,$A$1:$F$11,3,FALSE)+VLOOKUP($J3,$A$12:$F$21,3,FALSE)+VLOOKUP($J3,$A$22:$F$31,3,FALSE))/3</f>
        <v>0.99942249059677091</v>
      </c>
      <c r="M3" s="2">
        <f>WASM_Objekterkennung!K3-WebGPU_Objekterkennung!K3</f>
        <v>6235.9</v>
      </c>
      <c r="N3" s="6">
        <f>WASM_Objekterkennung!L3-WebGPU_Objekterkennung!L3</f>
        <v>3.6084651946988178E-4</v>
      </c>
    </row>
    <row r="4" spans="1:14" x14ac:dyDescent="0.25">
      <c r="A4">
        <v>2</v>
      </c>
      <c r="B4">
        <v>6408.5</v>
      </c>
      <c r="C4">
        <v>0.99754494428634599</v>
      </c>
      <c r="D4" t="s">
        <v>5</v>
      </c>
      <c r="J4">
        <v>2</v>
      </c>
      <c r="K4" s="2">
        <f t="shared" si="0"/>
        <v>6483.4333333333334</v>
      </c>
      <c r="L4" s="6">
        <f t="shared" si="1"/>
        <v>0.99754494428634599</v>
      </c>
      <c r="M4" s="2">
        <f>WASM_Objekterkennung!K4-WebGPU_Objekterkennung!K4</f>
        <v>5625.4666666666672</v>
      </c>
      <c r="N4" s="6">
        <f>WASM_Objekterkennung!L4-WebGPU_Objekterkennung!L4</f>
        <v>-4.4000148773204462E-4</v>
      </c>
    </row>
    <row r="5" spans="1:14" x14ac:dyDescent="0.25">
      <c r="A5">
        <v>3</v>
      </c>
      <c r="B5">
        <v>6518.7</v>
      </c>
      <c r="C5">
        <v>0.943800389766693</v>
      </c>
      <c r="D5" t="s">
        <v>14</v>
      </c>
      <c r="J5">
        <v>3</v>
      </c>
      <c r="K5" s="2">
        <f t="shared" si="0"/>
        <v>6621.8666666666659</v>
      </c>
      <c r="L5" s="6">
        <f t="shared" si="1"/>
        <v>0.943800389766693</v>
      </c>
      <c r="M5" s="2">
        <f>WASM_Objekterkennung!K5-WebGPU_Objekterkennung!K5</f>
        <v>5417.9999999999991</v>
      </c>
      <c r="N5" s="6">
        <f>WASM_Objekterkennung!L5-WebGPU_Objekterkennung!L5</f>
        <v>-2.2774219512939009E-2</v>
      </c>
    </row>
    <row r="6" spans="1:14" x14ac:dyDescent="0.25">
      <c r="A6">
        <v>4</v>
      </c>
      <c r="B6">
        <v>7732.7</v>
      </c>
      <c r="C6">
        <v>0.999209225177764</v>
      </c>
      <c r="D6" t="s">
        <v>6</v>
      </c>
      <c r="J6">
        <v>4</v>
      </c>
      <c r="K6" s="2">
        <f t="shared" si="0"/>
        <v>7722.9666666666672</v>
      </c>
      <c r="L6" s="6">
        <f t="shared" si="1"/>
        <v>0.999209225177764</v>
      </c>
      <c r="M6" s="2">
        <f>WASM_Objekterkennung!K6-WebGPU_Objekterkennung!K6</f>
        <v>6763.4333333333343</v>
      </c>
      <c r="N6" s="6">
        <f>WASM_Objekterkennung!L6-WebGPU_Objekterkennung!L6</f>
        <v>1.9705295562699732E-4</v>
      </c>
    </row>
    <row r="7" spans="1:14" x14ac:dyDescent="0.25">
      <c r="A7">
        <v>5</v>
      </c>
      <c r="B7">
        <v>6587.1</v>
      </c>
      <c r="C7">
        <v>0.99918538331985396</v>
      </c>
      <c r="D7" t="s">
        <v>6</v>
      </c>
      <c r="J7">
        <v>5</v>
      </c>
      <c r="K7" s="2">
        <f t="shared" si="0"/>
        <v>6542.4000000000005</v>
      </c>
      <c r="L7" s="6">
        <f t="shared" si="1"/>
        <v>0.99918538331985396</v>
      </c>
      <c r="M7" s="2">
        <f>WASM_Objekterkennung!K7-WebGPU_Objekterkennung!K7</f>
        <v>5437.2666666666673</v>
      </c>
      <c r="N7" s="6">
        <f>WASM_Objekterkennung!L7-WebGPU_Objekterkennung!L7</f>
        <v>2.5862455367997583E-4</v>
      </c>
    </row>
    <row r="8" spans="1:14" x14ac:dyDescent="0.25">
      <c r="A8">
        <v>6</v>
      </c>
      <c r="B8">
        <v>6574.1</v>
      </c>
      <c r="C8">
        <v>0.99898076057434004</v>
      </c>
      <c r="D8" t="s">
        <v>6</v>
      </c>
      <c r="J8">
        <v>6</v>
      </c>
      <c r="K8" s="2">
        <f t="shared" si="0"/>
        <v>6563.5</v>
      </c>
      <c r="L8" s="6">
        <f t="shared" si="1"/>
        <v>0.99898076057434004</v>
      </c>
      <c r="M8" s="2">
        <f>WASM_Objekterkennung!K8-WebGPU_Objekterkennung!K8</f>
        <v>5518.0666666666666</v>
      </c>
      <c r="N8" s="6">
        <f>WASM_Objekterkennung!L8-WebGPU_Objekterkennung!L8</f>
        <v>-1.2612342834494861E-4</v>
      </c>
    </row>
    <row r="9" spans="1:14" x14ac:dyDescent="0.25">
      <c r="A9">
        <v>7</v>
      </c>
      <c r="B9">
        <v>7040.9</v>
      </c>
      <c r="C9">
        <v>0.99947541952133101</v>
      </c>
      <c r="D9" t="s">
        <v>5</v>
      </c>
      <c r="J9">
        <v>7</v>
      </c>
      <c r="K9" s="2">
        <f t="shared" si="0"/>
        <v>6987.2666666666664</v>
      </c>
      <c r="L9" s="6">
        <f t="shared" si="1"/>
        <v>0.99947541952133101</v>
      </c>
      <c r="M9" s="2">
        <f>WASM_Objekterkennung!K9-WebGPU_Objekterkennung!K9</f>
        <v>5542.5666666666666</v>
      </c>
      <c r="N9" s="6">
        <f>WASM_Objekterkennung!L9-WebGPU_Objekterkennung!L9</f>
        <v>-1.3947486877885495E-5</v>
      </c>
    </row>
    <row r="10" spans="1:14" x14ac:dyDescent="0.25">
      <c r="A10">
        <v>8</v>
      </c>
      <c r="B10">
        <v>7477.1</v>
      </c>
      <c r="C10">
        <v>0.99753797054290705</v>
      </c>
      <c r="D10" t="s">
        <v>6</v>
      </c>
      <c r="J10">
        <v>8</v>
      </c>
      <c r="K10" s="2">
        <f t="shared" si="0"/>
        <v>7528.666666666667</v>
      </c>
      <c r="L10" s="6">
        <f t="shared" si="1"/>
        <v>0.99753797054290716</v>
      </c>
      <c r="M10" s="2">
        <f>WASM_Objekterkennung!K10-WebGPU_Objekterkennung!K10</f>
        <v>6353.1333333333332</v>
      </c>
      <c r="N10" s="6">
        <f>WASM_Objekterkennung!L10-WebGPU_Objekterkennung!L10</f>
        <v>6.7418813705422131E-4</v>
      </c>
    </row>
    <row r="11" spans="1:14" x14ac:dyDescent="0.25">
      <c r="A11">
        <v>9</v>
      </c>
      <c r="B11">
        <v>7034.2</v>
      </c>
      <c r="C11">
        <v>0.99881172180175704</v>
      </c>
      <c r="D11" t="s">
        <v>5</v>
      </c>
      <c r="J11">
        <v>9</v>
      </c>
      <c r="K11" s="2">
        <f t="shared" si="0"/>
        <v>6898.5333333333328</v>
      </c>
      <c r="L11" s="6">
        <f t="shared" si="1"/>
        <v>0.99881172180175704</v>
      </c>
      <c r="M11" s="2">
        <f>WASM_Objekterkennung!K11-WebGPU_Objekterkennung!K11</f>
        <v>5461.7666666666664</v>
      </c>
      <c r="N11" s="6">
        <f>WASM_Objekterkennung!L11-WebGPU_Objekterkennung!L11</f>
        <v>5.0503015518199579E-4</v>
      </c>
    </row>
    <row r="12" spans="1:14" x14ac:dyDescent="0.25">
      <c r="A12">
        <v>0</v>
      </c>
      <c r="B12">
        <v>7527</v>
      </c>
      <c r="C12">
        <v>0.98966026306152299</v>
      </c>
      <c r="D12" t="s">
        <v>4</v>
      </c>
      <c r="E12">
        <v>0.99980765581130904</v>
      </c>
      <c r="F12" t="s">
        <v>2</v>
      </c>
      <c r="K12" s="2"/>
      <c r="L12" s="6"/>
      <c r="M12" s="2"/>
      <c r="N12" s="6"/>
    </row>
    <row r="13" spans="1:14" x14ac:dyDescent="0.25">
      <c r="A13">
        <v>1</v>
      </c>
      <c r="B13">
        <v>7301.2</v>
      </c>
      <c r="C13">
        <v>0.99942249059677102</v>
      </c>
      <c r="D13" t="s">
        <v>6</v>
      </c>
      <c r="J13" s="1" t="s">
        <v>9</v>
      </c>
      <c r="K13" s="3">
        <f>SUM(K2:K11)/10</f>
        <v>7009.0199999999995</v>
      </c>
      <c r="L13" s="7">
        <f>SUM(L2:L11)/10</f>
        <v>0.99287022650241796</v>
      </c>
      <c r="M13" s="3">
        <f>WASM_Objekterkennung!K13-WebGPU_Objekterkennung!K13</f>
        <v>5753.9233333333323</v>
      </c>
      <c r="N13" s="7">
        <f>WASM_Objekterkennung!L13-WebGPU_Objekterkennung!L13</f>
        <v>-2.2368282079698876E-3</v>
      </c>
    </row>
    <row r="14" spans="1:14" x14ac:dyDescent="0.25">
      <c r="A14">
        <v>2</v>
      </c>
      <c r="B14">
        <v>6623.8</v>
      </c>
      <c r="C14">
        <v>0.99754494428634599</v>
      </c>
      <c r="D14" t="s">
        <v>5</v>
      </c>
    </row>
    <row r="15" spans="1:14" x14ac:dyDescent="0.25">
      <c r="A15">
        <v>3</v>
      </c>
      <c r="B15">
        <v>6635</v>
      </c>
      <c r="C15">
        <v>0.943800389766693</v>
      </c>
      <c r="D15" t="s">
        <v>14</v>
      </c>
    </row>
    <row r="16" spans="1:14" x14ac:dyDescent="0.25">
      <c r="A16">
        <v>4</v>
      </c>
      <c r="B16">
        <v>7706.5</v>
      </c>
      <c r="C16">
        <v>0.999209225177764</v>
      </c>
      <c r="D16" t="s">
        <v>6</v>
      </c>
    </row>
    <row r="17" spans="1:6" x14ac:dyDescent="0.25">
      <c r="A17">
        <v>5</v>
      </c>
      <c r="B17">
        <v>6565.1</v>
      </c>
      <c r="C17">
        <v>0.99918538331985396</v>
      </c>
      <c r="D17" t="s">
        <v>6</v>
      </c>
    </row>
    <row r="18" spans="1:6" x14ac:dyDescent="0.25">
      <c r="A18">
        <v>6</v>
      </c>
      <c r="B18">
        <v>6513.6</v>
      </c>
      <c r="C18">
        <v>0.99898076057434004</v>
      </c>
      <c r="D18" t="s">
        <v>6</v>
      </c>
    </row>
    <row r="19" spans="1:6" x14ac:dyDescent="0.25">
      <c r="A19">
        <v>7</v>
      </c>
      <c r="B19">
        <v>6941.1</v>
      </c>
      <c r="C19">
        <v>0.99947541952133101</v>
      </c>
      <c r="D19" t="s">
        <v>5</v>
      </c>
    </row>
    <row r="20" spans="1:6" x14ac:dyDescent="0.25">
      <c r="A20">
        <v>8</v>
      </c>
      <c r="B20">
        <v>7642.5</v>
      </c>
      <c r="C20">
        <v>0.99753797054290705</v>
      </c>
      <c r="D20" t="s">
        <v>6</v>
      </c>
    </row>
    <row r="21" spans="1:6" x14ac:dyDescent="0.25">
      <c r="A21">
        <v>9</v>
      </c>
      <c r="B21">
        <v>6774</v>
      </c>
      <c r="C21">
        <v>0.99881172180175704</v>
      </c>
      <c r="D21" t="s">
        <v>5</v>
      </c>
    </row>
    <row r="22" spans="1:6" x14ac:dyDescent="0.25">
      <c r="A22">
        <v>0</v>
      </c>
      <c r="B22">
        <v>7383</v>
      </c>
      <c r="C22">
        <v>0.98966026306152299</v>
      </c>
      <c r="D22" t="s">
        <v>4</v>
      </c>
      <c r="E22">
        <v>0.99980765581130904</v>
      </c>
      <c r="F22" t="s">
        <v>2</v>
      </c>
    </row>
    <row r="23" spans="1:6" x14ac:dyDescent="0.25">
      <c r="A23">
        <v>1</v>
      </c>
      <c r="B23">
        <v>7178.5</v>
      </c>
      <c r="C23">
        <v>0.99942249059677102</v>
      </c>
      <c r="D23" t="s">
        <v>6</v>
      </c>
    </row>
    <row r="24" spans="1:6" x14ac:dyDescent="0.25">
      <c r="A24">
        <v>2</v>
      </c>
      <c r="B24">
        <v>6418</v>
      </c>
      <c r="C24">
        <v>0.99754494428634599</v>
      </c>
      <c r="D24" t="s">
        <v>5</v>
      </c>
    </row>
    <row r="25" spans="1:6" x14ac:dyDescent="0.25">
      <c r="A25">
        <v>3</v>
      </c>
      <c r="B25">
        <v>6711.9</v>
      </c>
      <c r="C25">
        <v>0.943800389766693</v>
      </c>
      <c r="D25" t="s">
        <v>14</v>
      </c>
    </row>
    <row r="26" spans="1:6" x14ac:dyDescent="0.25">
      <c r="A26">
        <v>4</v>
      </c>
      <c r="B26">
        <v>7729.7</v>
      </c>
      <c r="C26">
        <v>0.999209225177764</v>
      </c>
      <c r="D26" t="s">
        <v>6</v>
      </c>
    </row>
    <row r="27" spans="1:6" x14ac:dyDescent="0.25">
      <c r="A27">
        <v>5</v>
      </c>
      <c r="B27">
        <v>6475</v>
      </c>
      <c r="C27">
        <v>0.99918538331985396</v>
      </c>
      <c r="D27" t="s">
        <v>6</v>
      </c>
    </row>
    <row r="28" spans="1:6" x14ac:dyDescent="0.25">
      <c r="A28">
        <v>6</v>
      </c>
      <c r="B28">
        <v>6602.8</v>
      </c>
      <c r="C28">
        <v>0.99898076057434004</v>
      </c>
      <c r="D28" t="s">
        <v>6</v>
      </c>
    </row>
    <row r="29" spans="1:6" x14ac:dyDescent="0.25">
      <c r="A29">
        <v>7</v>
      </c>
      <c r="B29">
        <v>6979.8</v>
      </c>
      <c r="C29">
        <v>0.99947541952133101</v>
      </c>
      <c r="D29" t="s">
        <v>5</v>
      </c>
    </row>
    <row r="30" spans="1:6" x14ac:dyDescent="0.25">
      <c r="A30">
        <v>8</v>
      </c>
      <c r="B30">
        <v>7466.4</v>
      </c>
      <c r="C30">
        <v>0.99753797054290705</v>
      </c>
      <c r="D30" t="s">
        <v>6</v>
      </c>
    </row>
    <row r="31" spans="1:6" x14ac:dyDescent="0.25">
      <c r="A31">
        <v>9</v>
      </c>
      <c r="B31">
        <v>6887.4</v>
      </c>
      <c r="C31">
        <v>0.99881172180175704</v>
      </c>
      <c r="D31" t="s">
        <v>5</v>
      </c>
    </row>
  </sheetData>
  <pageMargins left="0.7" right="0.7" top="0.78740157499999996" bottom="0.78740157499999996"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17312-4AC0-4B70-9628-B0151F219506}">
  <dimension ref="A1:N31"/>
  <sheetViews>
    <sheetView workbookViewId="0">
      <selection activeCell="K1" sqref="K1"/>
    </sheetView>
  </sheetViews>
  <sheetFormatPr baseColWidth="10" defaultRowHeight="15" x14ac:dyDescent="0.25"/>
  <cols>
    <col min="1" max="1" width="7.5703125" bestFit="1" customWidth="1"/>
    <col min="2" max="2" width="16.42578125" bestFit="1" customWidth="1"/>
    <col min="3" max="3" width="19.5703125" bestFit="1" customWidth="1"/>
    <col min="4" max="4" width="10.140625" bestFit="1" customWidth="1"/>
    <col min="5" max="5" width="19.5703125" bestFit="1" customWidth="1"/>
    <col min="6" max="6" width="6.85546875" bestFit="1" customWidth="1"/>
    <col min="10" max="10" width="12.7109375" bestFit="1" customWidth="1"/>
    <col min="11" max="11" width="13.42578125" bestFit="1" customWidth="1"/>
    <col min="12" max="12" width="20.28515625" bestFit="1" customWidth="1"/>
    <col min="13" max="13" width="20.7109375" bestFit="1" customWidth="1"/>
    <col min="14" max="14" width="27.7109375" bestFit="1" customWidth="1"/>
  </cols>
  <sheetData>
    <row r="1" spans="1:14" s="1" customFormat="1" x14ac:dyDescent="0.25">
      <c r="A1" s="1" t="s">
        <v>1</v>
      </c>
      <c r="B1" s="1" t="s">
        <v>0</v>
      </c>
      <c r="C1" s="1" t="s">
        <v>7</v>
      </c>
      <c r="D1" s="1" t="s">
        <v>3</v>
      </c>
      <c r="E1" s="1" t="s">
        <v>8</v>
      </c>
      <c r="F1" s="1" t="s">
        <v>3</v>
      </c>
      <c r="J1" s="1" t="s">
        <v>1</v>
      </c>
      <c r="K1" s="1" t="s">
        <v>10</v>
      </c>
      <c r="L1" s="1" t="s">
        <v>11</v>
      </c>
      <c r="M1" s="1" t="s">
        <v>12</v>
      </c>
      <c r="N1" s="1" t="s">
        <v>13</v>
      </c>
    </row>
    <row r="2" spans="1:14" x14ac:dyDescent="0.25">
      <c r="A2">
        <v>0</v>
      </c>
      <c r="B2">
        <v>2648.4</v>
      </c>
      <c r="C2">
        <v>0.99178224802017201</v>
      </c>
      <c r="D2" t="s">
        <v>4</v>
      </c>
      <c r="E2">
        <v>0.99970513582229603</v>
      </c>
      <c r="F2" t="s">
        <v>5</v>
      </c>
      <c r="J2">
        <v>0</v>
      </c>
      <c r="K2" s="2">
        <f>(VLOOKUP($J2,$A$1:$F$11,2,FALSE)+VLOOKUP($J2,$A$12:$F$21,2,FALSE)+VLOOKUP($J2,$A$22:$F$31,2,FALSE))/3</f>
        <v>2309.4333333333334</v>
      </c>
      <c r="L2" s="4">
        <f>(VLOOKUP($J2,$A$1:$F$11,3,FALSE)+VLOOKUP($J2,$A$12:$F$21,3,FALSE)+VLOOKUP($J2,$A$22:$F$31,3,FALSE)+E2+E12+E22)/6</f>
        <v>0.99574369192123402</v>
      </c>
      <c r="M2" s="2">
        <f>WASM_Objekterkennung!K2-WebGPU_Objekterkennung!K2</f>
        <v>5183.6333333333332</v>
      </c>
      <c r="N2" s="6">
        <f>WASM_Objekterkennung!L2-WebGPU_Objekterkennung!L2</f>
        <v>-1.009732484817949E-3</v>
      </c>
    </row>
    <row r="3" spans="1:14" x14ac:dyDescent="0.25">
      <c r="A3">
        <v>1</v>
      </c>
      <c r="B3">
        <v>1055.2</v>
      </c>
      <c r="C3">
        <v>0.99906164407730103</v>
      </c>
      <c r="D3" t="s">
        <v>6</v>
      </c>
      <c r="J3">
        <v>1</v>
      </c>
      <c r="K3" s="2">
        <f t="shared" ref="K3:K11" si="0">(VLOOKUP($J3,$A$1:$F$11,2,FALSE)+VLOOKUP($J3,$A$12:$F$21,2,FALSE)+VLOOKUP($J3,$A$22:$F$31,2,FALSE))/3</f>
        <v>1012.6</v>
      </c>
      <c r="L3" s="4">
        <f t="shared" ref="L3:L11" si="1">(VLOOKUP($J3,$A$1:$F$11,3,FALSE)+VLOOKUP($J3,$A$12:$F$21,3,FALSE)+VLOOKUP($J3,$A$22:$F$31,3,FALSE))/3</f>
        <v>0.99906164407730103</v>
      </c>
      <c r="M3" s="2">
        <f>WASM_Objekterkennung!K3-WebGPU_Objekterkennung!K3</f>
        <v>6235.9</v>
      </c>
      <c r="N3" s="6">
        <f>WASM_Objekterkennung!L3-WebGPU_Objekterkennung!L3</f>
        <v>3.6084651946988178E-4</v>
      </c>
    </row>
    <row r="4" spans="1:14" x14ac:dyDescent="0.25">
      <c r="A4">
        <v>2</v>
      </c>
      <c r="B4">
        <v>844.8</v>
      </c>
      <c r="C4">
        <v>0.99798494577407804</v>
      </c>
      <c r="D4" t="s">
        <v>5</v>
      </c>
      <c r="J4">
        <v>2</v>
      </c>
      <c r="K4" s="2">
        <f t="shared" si="0"/>
        <v>857.9666666666667</v>
      </c>
      <c r="L4" s="4">
        <f t="shared" si="1"/>
        <v>0.99798494577407804</v>
      </c>
      <c r="M4" s="2">
        <f>WASM_Objekterkennung!K4-WebGPU_Objekterkennung!K4</f>
        <v>5625.4666666666672</v>
      </c>
      <c r="N4" s="6">
        <f>WASM_Objekterkennung!L4-WebGPU_Objekterkennung!L4</f>
        <v>-4.4000148773204462E-4</v>
      </c>
    </row>
    <row r="5" spans="1:14" x14ac:dyDescent="0.25">
      <c r="A5">
        <v>3</v>
      </c>
      <c r="B5">
        <v>1411.3</v>
      </c>
      <c r="C5">
        <v>0.96657460927963201</v>
      </c>
      <c r="D5" t="s">
        <v>14</v>
      </c>
      <c r="J5">
        <v>3</v>
      </c>
      <c r="K5" s="2">
        <f t="shared" si="0"/>
        <v>1203.8666666666666</v>
      </c>
      <c r="L5" s="4">
        <f t="shared" si="1"/>
        <v>0.96657460927963201</v>
      </c>
      <c r="M5" s="2">
        <f>WASM_Objekterkennung!K5-WebGPU_Objekterkennung!K5</f>
        <v>5417.9999999999991</v>
      </c>
      <c r="N5" s="6">
        <f>WASM_Objekterkennung!L5-WebGPU_Objekterkennung!L5</f>
        <v>-2.2774219512939009E-2</v>
      </c>
    </row>
    <row r="6" spans="1:14" x14ac:dyDescent="0.25">
      <c r="A6">
        <v>4</v>
      </c>
      <c r="B6">
        <v>986.4</v>
      </c>
      <c r="C6">
        <v>0.99901217222213701</v>
      </c>
      <c r="D6" t="s">
        <v>6</v>
      </c>
      <c r="J6">
        <v>4</v>
      </c>
      <c r="K6" s="2">
        <f t="shared" si="0"/>
        <v>959.5333333333333</v>
      </c>
      <c r="L6" s="4">
        <f t="shared" si="1"/>
        <v>0.99901217222213701</v>
      </c>
      <c r="M6" s="2">
        <f>WASM_Objekterkennung!K6-WebGPU_Objekterkennung!K6</f>
        <v>6763.4333333333343</v>
      </c>
      <c r="N6" s="6">
        <f>WASM_Objekterkennung!L6-WebGPU_Objekterkennung!L6</f>
        <v>1.9705295562699732E-4</v>
      </c>
    </row>
    <row r="7" spans="1:14" x14ac:dyDescent="0.25">
      <c r="A7">
        <v>5</v>
      </c>
      <c r="B7">
        <v>959.1</v>
      </c>
      <c r="C7">
        <v>0.99892675876617398</v>
      </c>
      <c r="D7" t="s">
        <v>6</v>
      </c>
      <c r="J7">
        <v>5</v>
      </c>
      <c r="K7" s="2">
        <f t="shared" si="0"/>
        <v>1105.1333333333334</v>
      </c>
      <c r="L7" s="4">
        <f t="shared" si="1"/>
        <v>0.99892675876617398</v>
      </c>
      <c r="M7" s="2">
        <f>WASM_Objekterkennung!K7-WebGPU_Objekterkennung!K7</f>
        <v>5437.2666666666673</v>
      </c>
      <c r="N7" s="6">
        <f>WASM_Objekterkennung!L7-WebGPU_Objekterkennung!L7</f>
        <v>2.5862455367997583E-4</v>
      </c>
    </row>
    <row r="8" spans="1:14" x14ac:dyDescent="0.25">
      <c r="A8">
        <v>6</v>
      </c>
      <c r="B8">
        <v>1151.5999999999999</v>
      </c>
      <c r="C8">
        <v>0.99910688400268499</v>
      </c>
      <c r="D8" t="s">
        <v>6</v>
      </c>
      <c r="J8">
        <v>6</v>
      </c>
      <c r="K8" s="2">
        <f t="shared" si="0"/>
        <v>1045.4333333333334</v>
      </c>
      <c r="L8" s="4">
        <f t="shared" si="1"/>
        <v>0.99910688400268499</v>
      </c>
      <c r="M8" s="2">
        <f>WASM_Objekterkennung!K8-WebGPU_Objekterkennung!K8</f>
        <v>5518.0666666666666</v>
      </c>
      <c r="N8" s="6">
        <f>WASM_Objekterkennung!L8-WebGPU_Objekterkennung!L8</f>
        <v>-1.2612342834494861E-4</v>
      </c>
    </row>
    <row r="9" spans="1:14" x14ac:dyDescent="0.25">
      <c r="A9">
        <v>7</v>
      </c>
      <c r="B9">
        <v>1657.7</v>
      </c>
      <c r="C9">
        <v>0.99948936700820901</v>
      </c>
      <c r="D9" t="s">
        <v>5</v>
      </c>
      <c r="J9">
        <v>7</v>
      </c>
      <c r="K9" s="2">
        <f t="shared" si="0"/>
        <v>1444.7</v>
      </c>
      <c r="L9" s="4">
        <f t="shared" si="1"/>
        <v>0.9994893670082089</v>
      </c>
      <c r="M9" s="2">
        <f>WASM_Objekterkennung!K9-WebGPU_Objekterkennung!K9</f>
        <v>5542.5666666666666</v>
      </c>
      <c r="N9" s="6">
        <f>WASM_Objekterkennung!L9-WebGPU_Objekterkennung!L9</f>
        <v>-1.3947486877885495E-5</v>
      </c>
    </row>
    <row r="10" spans="1:14" x14ac:dyDescent="0.25">
      <c r="A10">
        <v>8</v>
      </c>
      <c r="B10">
        <v>1113.5999999999999</v>
      </c>
      <c r="C10">
        <v>0.99686378240585305</v>
      </c>
      <c r="D10" t="s">
        <v>6</v>
      </c>
      <c r="J10">
        <v>8</v>
      </c>
      <c r="K10" s="2">
        <f t="shared" si="0"/>
        <v>1175.5333333333333</v>
      </c>
      <c r="L10" s="4">
        <f t="shared" si="1"/>
        <v>0.99686378240585294</v>
      </c>
      <c r="M10" s="2">
        <f>WASM_Objekterkennung!K10-WebGPU_Objekterkennung!K10</f>
        <v>6353.1333333333332</v>
      </c>
      <c r="N10" s="6">
        <f>WASM_Objekterkennung!L10-WebGPU_Objekterkennung!L10</f>
        <v>6.7418813705422131E-4</v>
      </c>
    </row>
    <row r="11" spans="1:14" x14ac:dyDescent="0.25">
      <c r="A11">
        <v>9</v>
      </c>
      <c r="B11">
        <v>1521.1</v>
      </c>
      <c r="C11">
        <v>0.99830669164657504</v>
      </c>
      <c r="D11" t="s">
        <v>5</v>
      </c>
      <c r="J11">
        <v>9</v>
      </c>
      <c r="K11" s="2">
        <f t="shared" si="0"/>
        <v>1436.7666666666667</v>
      </c>
      <c r="L11" s="4">
        <f t="shared" si="1"/>
        <v>0.99830669164657504</v>
      </c>
      <c r="M11" s="2">
        <f>WASM_Objekterkennung!K11-WebGPU_Objekterkennung!K11</f>
        <v>5461.7666666666664</v>
      </c>
      <c r="N11" s="6">
        <f>WASM_Objekterkennung!L11-WebGPU_Objekterkennung!L11</f>
        <v>5.0503015518199579E-4</v>
      </c>
    </row>
    <row r="12" spans="1:14" x14ac:dyDescent="0.25">
      <c r="A12">
        <v>0</v>
      </c>
      <c r="B12">
        <v>2131.1999999999998</v>
      </c>
      <c r="C12">
        <v>0.99178224802017201</v>
      </c>
      <c r="D12" t="s">
        <v>4</v>
      </c>
      <c r="E12">
        <v>0.99970513582229603</v>
      </c>
      <c r="F12" t="s">
        <v>5</v>
      </c>
      <c r="K12" s="2"/>
      <c r="L12" s="4"/>
      <c r="M12" s="2"/>
      <c r="N12" s="6"/>
    </row>
    <row r="13" spans="1:14" x14ac:dyDescent="0.25">
      <c r="A13">
        <v>1</v>
      </c>
      <c r="B13">
        <v>886</v>
      </c>
      <c r="C13">
        <v>0.99906164407730103</v>
      </c>
      <c r="D13" t="s">
        <v>6</v>
      </c>
      <c r="J13" s="1" t="s">
        <v>9</v>
      </c>
      <c r="K13" s="3">
        <f>SUM(K2:K11)/10</f>
        <v>1255.0966666666668</v>
      </c>
      <c r="L13" s="5">
        <f>SUM(L2:L11)/10</f>
        <v>0.99510705471038785</v>
      </c>
      <c r="M13" s="3">
        <f>WASM_Objekterkennung!K13-WebGPU_Objekterkennung!K13</f>
        <v>5753.9233333333323</v>
      </c>
      <c r="N13" s="7">
        <f>WASM_Objekterkennung!L13-WebGPU_Objekterkennung!L13</f>
        <v>-2.2368282079698876E-3</v>
      </c>
    </row>
    <row r="14" spans="1:14" x14ac:dyDescent="0.25">
      <c r="A14">
        <v>2</v>
      </c>
      <c r="B14">
        <v>884.7</v>
      </c>
      <c r="C14">
        <v>0.99798494577407804</v>
      </c>
      <c r="D14" t="s">
        <v>5</v>
      </c>
    </row>
    <row r="15" spans="1:14" x14ac:dyDescent="0.25">
      <c r="A15">
        <v>3</v>
      </c>
      <c r="B15">
        <v>1193.4000000000001</v>
      </c>
      <c r="C15">
        <v>0.96657460927963201</v>
      </c>
      <c r="D15" t="s">
        <v>14</v>
      </c>
    </row>
    <row r="16" spans="1:14" x14ac:dyDescent="0.25">
      <c r="A16">
        <v>4</v>
      </c>
      <c r="B16">
        <v>921.6</v>
      </c>
      <c r="C16">
        <v>0.99901217222213701</v>
      </c>
      <c r="D16" t="s">
        <v>6</v>
      </c>
    </row>
    <row r="17" spans="1:6" x14ac:dyDescent="0.25">
      <c r="A17">
        <v>5</v>
      </c>
      <c r="B17">
        <v>1312.2</v>
      </c>
      <c r="C17">
        <v>0.99892675876617398</v>
      </c>
      <c r="D17" t="s">
        <v>6</v>
      </c>
    </row>
    <row r="18" spans="1:6" x14ac:dyDescent="0.25">
      <c r="A18">
        <v>6</v>
      </c>
      <c r="B18">
        <v>970</v>
      </c>
      <c r="C18">
        <v>0.99910688400268499</v>
      </c>
      <c r="D18" t="s">
        <v>6</v>
      </c>
    </row>
    <row r="19" spans="1:6" x14ac:dyDescent="0.25">
      <c r="A19">
        <v>7</v>
      </c>
      <c r="B19">
        <v>1283</v>
      </c>
      <c r="C19">
        <v>0.99948936700820901</v>
      </c>
      <c r="D19" t="s">
        <v>5</v>
      </c>
    </row>
    <row r="20" spans="1:6" x14ac:dyDescent="0.25">
      <c r="A20">
        <v>8</v>
      </c>
      <c r="B20">
        <v>1218.9000000000001</v>
      </c>
      <c r="C20">
        <v>0.99686378240585305</v>
      </c>
      <c r="D20" t="s">
        <v>6</v>
      </c>
    </row>
    <row r="21" spans="1:6" x14ac:dyDescent="0.25">
      <c r="A21">
        <v>9</v>
      </c>
      <c r="B21">
        <v>1588.2</v>
      </c>
      <c r="C21">
        <v>0.99830669164657504</v>
      </c>
      <c r="D21" t="s">
        <v>5</v>
      </c>
    </row>
    <row r="22" spans="1:6" x14ac:dyDescent="0.25">
      <c r="A22">
        <v>0</v>
      </c>
      <c r="B22">
        <v>2148.6999999999998</v>
      </c>
      <c r="C22">
        <v>0.99178224802017201</v>
      </c>
      <c r="D22" t="s">
        <v>4</v>
      </c>
      <c r="E22">
        <v>0.99970513582229603</v>
      </c>
      <c r="F22" t="s">
        <v>5</v>
      </c>
    </row>
    <row r="23" spans="1:6" x14ac:dyDescent="0.25">
      <c r="A23">
        <v>1</v>
      </c>
      <c r="B23">
        <v>1096.5999999999999</v>
      </c>
      <c r="C23">
        <v>0.99906164407730103</v>
      </c>
      <c r="D23" t="s">
        <v>6</v>
      </c>
    </row>
    <row r="24" spans="1:6" x14ac:dyDescent="0.25">
      <c r="A24">
        <v>2</v>
      </c>
      <c r="B24">
        <v>844.4</v>
      </c>
      <c r="C24">
        <v>0.99798494577407804</v>
      </c>
      <c r="D24" t="s">
        <v>5</v>
      </c>
    </row>
    <row r="25" spans="1:6" x14ac:dyDescent="0.25">
      <c r="A25">
        <v>3</v>
      </c>
      <c r="B25">
        <v>1006.9</v>
      </c>
      <c r="C25">
        <v>0.96657460927963201</v>
      </c>
      <c r="D25" t="s">
        <v>14</v>
      </c>
    </row>
    <row r="26" spans="1:6" x14ac:dyDescent="0.25">
      <c r="A26">
        <v>4</v>
      </c>
      <c r="B26">
        <v>970.6</v>
      </c>
      <c r="C26">
        <v>0.99901217222213701</v>
      </c>
      <c r="D26" t="s">
        <v>6</v>
      </c>
    </row>
    <row r="27" spans="1:6" x14ac:dyDescent="0.25">
      <c r="A27">
        <v>5</v>
      </c>
      <c r="B27">
        <v>1044.0999999999999</v>
      </c>
      <c r="C27">
        <v>0.99892675876617398</v>
      </c>
      <c r="D27" t="s">
        <v>6</v>
      </c>
    </row>
    <row r="28" spans="1:6" x14ac:dyDescent="0.25">
      <c r="A28">
        <v>6</v>
      </c>
      <c r="B28">
        <v>1014.7</v>
      </c>
      <c r="C28">
        <v>0.99910688400268499</v>
      </c>
      <c r="D28" t="s">
        <v>6</v>
      </c>
    </row>
    <row r="29" spans="1:6" x14ac:dyDescent="0.25">
      <c r="A29">
        <v>7</v>
      </c>
      <c r="B29">
        <v>1393.4</v>
      </c>
      <c r="C29">
        <v>0.99948936700820901</v>
      </c>
      <c r="D29" t="s">
        <v>5</v>
      </c>
    </row>
    <row r="30" spans="1:6" x14ac:dyDescent="0.25">
      <c r="A30">
        <v>8</v>
      </c>
      <c r="B30">
        <v>1194.0999999999999</v>
      </c>
      <c r="C30">
        <v>0.99686378240585305</v>
      </c>
      <c r="D30" t="s">
        <v>6</v>
      </c>
    </row>
    <row r="31" spans="1:6" x14ac:dyDescent="0.25">
      <c r="A31">
        <v>9</v>
      </c>
      <c r="B31">
        <v>1201</v>
      </c>
      <c r="C31">
        <v>0.99830669164657504</v>
      </c>
      <c r="D31" t="s">
        <v>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5083C-969B-4129-92AC-314645FA7400}">
  <dimension ref="A1:F15"/>
  <sheetViews>
    <sheetView tabSelected="1" workbookViewId="0">
      <selection activeCell="E11" sqref="E11"/>
    </sheetView>
  </sheetViews>
  <sheetFormatPr baseColWidth="10" defaultRowHeight="15" x14ac:dyDescent="0.25"/>
  <cols>
    <col min="1" max="1" width="24.42578125" customWidth="1"/>
    <col min="2" max="4" width="13.140625" bestFit="1" customWidth="1"/>
    <col min="5" max="5" width="10.28515625" bestFit="1" customWidth="1"/>
    <col min="6" max="6" width="18.7109375" bestFit="1" customWidth="1"/>
  </cols>
  <sheetData>
    <row r="1" spans="1:6" s="1" customFormat="1" x14ac:dyDescent="0.25">
      <c r="A1" s="1" t="s">
        <v>26</v>
      </c>
      <c r="B1" s="1" t="s">
        <v>27</v>
      </c>
      <c r="C1" s="1" t="s">
        <v>28</v>
      </c>
      <c r="D1" s="1" t="s">
        <v>29</v>
      </c>
      <c r="E1" s="1" t="s">
        <v>30</v>
      </c>
      <c r="F1" s="1" t="s">
        <v>31</v>
      </c>
    </row>
    <row r="2" spans="1:6" x14ac:dyDescent="0.25">
      <c r="A2" t="s">
        <v>15</v>
      </c>
      <c r="B2">
        <v>442.3</v>
      </c>
      <c r="C2">
        <v>322.7</v>
      </c>
      <c r="D2">
        <v>488.4</v>
      </c>
      <c r="E2" s="2">
        <f>AVERAGE(B2:D2)</f>
        <v>417.8</v>
      </c>
      <c r="F2" s="2">
        <f>_xlfn.STDEV.P(B2:D2)</f>
        <v>69.829840803675225</v>
      </c>
    </row>
    <row r="3" spans="1:6" x14ac:dyDescent="0.25">
      <c r="A3" t="s">
        <v>16</v>
      </c>
      <c r="B3">
        <v>496.4</v>
      </c>
      <c r="C3">
        <v>321.39999999999998</v>
      </c>
      <c r="D3">
        <v>318.8</v>
      </c>
      <c r="E3" s="2">
        <f t="shared" ref="E3:E11" si="0">AVERAGE(B3:D3)</f>
        <v>378.86666666666662</v>
      </c>
      <c r="F3" s="2">
        <f t="shared" ref="F3:F11" si="1">_xlfn.STDEV.P(B3:D3)</f>
        <v>83.115395017342706</v>
      </c>
    </row>
    <row r="4" spans="1:6" x14ac:dyDescent="0.25">
      <c r="A4" t="s">
        <v>17</v>
      </c>
      <c r="B4">
        <v>597.29999999999995</v>
      </c>
      <c r="C4">
        <v>426.3</v>
      </c>
      <c r="D4">
        <v>426.3</v>
      </c>
      <c r="E4" s="2">
        <f t="shared" si="0"/>
        <v>483.29999999999995</v>
      </c>
      <c r="F4" s="2">
        <f t="shared" si="1"/>
        <v>80.610173055266415</v>
      </c>
    </row>
    <row r="5" spans="1:6" x14ac:dyDescent="0.25">
      <c r="A5" t="s">
        <v>18</v>
      </c>
      <c r="B5">
        <v>418.3</v>
      </c>
      <c r="C5">
        <v>384</v>
      </c>
      <c r="D5">
        <v>407.9</v>
      </c>
      <c r="E5" s="2">
        <f t="shared" si="0"/>
        <v>403.39999999999992</v>
      </c>
      <c r="F5" s="2">
        <f t="shared" si="1"/>
        <v>14.359897864075034</v>
      </c>
    </row>
    <row r="6" spans="1:6" x14ac:dyDescent="0.25">
      <c r="A6" t="s">
        <v>19</v>
      </c>
      <c r="B6">
        <v>540.29999999999995</v>
      </c>
      <c r="C6">
        <v>555.20000000000005</v>
      </c>
      <c r="D6">
        <v>427.5</v>
      </c>
      <c r="E6" s="2">
        <f t="shared" si="0"/>
        <v>507.66666666666669</v>
      </c>
      <c r="F6" s="2">
        <f t="shared" si="1"/>
        <v>57.011831130817953</v>
      </c>
    </row>
    <row r="7" spans="1:6" x14ac:dyDescent="0.25">
      <c r="A7" t="s">
        <v>20</v>
      </c>
      <c r="B7">
        <v>971.5</v>
      </c>
      <c r="C7">
        <v>1042.7</v>
      </c>
      <c r="D7">
        <v>965.6</v>
      </c>
      <c r="E7" s="2">
        <f t="shared" si="0"/>
        <v>993.26666666666677</v>
      </c>
      <c r="F7" s="2">
        <f t="shared" si="1"/>
        <v>35.03753542829304</v>
      </c>
    </row>
    <row r="8" spans="1:6" x14ac:dyDescent="0.25">
      <c r="A8" t="s">
        <v>21</v>
      </c>
      <c r="B8">
        <v>855.7</v>
      </c>
      <c r="C8">
        <v>1015.8</v>
      </c>
      <c r="D8">
        <v>1189.5</v>
      </c>
      <c r="E8" s="2">
        <f t="shared" si="0"/>
        <v>1020.3333333333334</v>
      </c>
      <c r="F8" s="2">
        <f t="shared" si="1"/>
        <v>136.31097616194481</v>
      </c>
    </row>
    <row r="9" spans="1:6" x14ac:dyDescent="0.25">
      <c r="A9" t="s">
        <v>22</v>
      </c>
      <c r="B9">
        <v>660.3</v>
      </c>
      <c r="C9">
        <v>985.8</v>
      </c>
      <c r="D9">
        <v>716.5</v>
      </c>
      <c r="E9" s="2">
        <f t="shared" si="0"/>
        <v>787.5333333333333</v>
      </c>
      <c r="F9" s="2">
        <f t="shared" si="1"/>
        <v>142.06069907691639</v>
      </c>
    </row>
    <row r="10" spans="1:6" x14ac:dyDescent="0.25">
      <c r="A10" t="s">
        <v>23</v>
      </c>
      <c r="B10">
        <v>2694.9</v>
      </c>
      <c r="C10">
        <v>2468.5</v>
      </c>
      <c r="D10">
        <v>2712.3</v>
      </c>
      <c r="E10" s="2">
        <f t="shared" si="0"/>
        <v>2625.2333333333331</v>
      </c>
      <c r="F10" s="2">
        <f t="shared" si="1"/>
        <v>111.0546211955581</v>
      </c>
    </row>
    <row r="11" spans="1:6" x14ac:dyDescent="0.25">
      <c r="A11" t="s">
        <v>24</v>
      </c>
      <c r="B11">
        <v>3297.7</v>
      </c>
      <c r="C11">
        <v>3492.9</v>
      </c>
      <c r="D11">
        <v>3453.5</v>
      </c>
      <c r="E11" s="2">
        <f t="shared" si="0"/>
        <v>3414.7000000000003</v>
      </c>
      <c r="F11" s="2">
        <f t="shared" si="1"/>
        <v>84.280642300985619</v>
      </c>
    </row>
    <row r="12" spans="1:6" x14ac:dyDescent="0.25">
      <c r="E12" s="2"/>
      <c r="F12" s="2"/>
    </row>
    <row r="13" spans="1:6" x14ac:dyDescent="0.25">
      <c r="A13" s="1" t="s">
        <v>10</v>
      </c>
      <c r="B13" s="2">
        <f>SUM(B2:B11)/10</f>
        <v>1097.47</v>
      </c>
      <c r="C13" s="2">
        <f t="shared" ref="C13:D13" si="2">SUM(C2:C11)/10</f>
        <v>1101.5300000000002</v>
      </c>
      <c r="D13" s="2">
        <f t="shared" si="2"/>
        <v>1110.6299999999999</v>
      </c>
      <c r="E13" s="2">
        <f t="shared" ref="E13:F13" si="3">SUM(E2:E11)/10</f>
        <v>1103.21</v>
      </c>
      <c r="F13" s="2">
        <f t="shared" si="3"/>
        <v>81.367161203487541</v>
      </c>
    </row>
    <row r="15" spans="1:6" x14ac:dyDescent="0.25">
      <c r="A15" t="s">
        <v>25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BB5F-79F9-4D03-9B02-D352972029D9}">
  <dimension ref="A1:H15"/>
  <sheetViews>
    <sheetView workbookViewId="0">
      <selection activeCell="E18" sqref="E18"/>
    </sheetView>
  </sheetViews>
  <sheetFormatPr baseColWidth="10" defaultRowHeight="15" x14ac:dyDescent="0.25"/>
  <cols>
    <col min="1" max="1" width="24.42578125" customWidth="1"/>
    <col min="2" max="4" width="13.140625" bestFit="1" customWidth="1"/>
    <col min="5" max="5" width="10.28515625" bestFit="1" customWidth="1"/>
    <col min="6" max="6" width="18.7109375" bestFit="1" customWidth="1"/>
  </cols>
  <sheetData>
    <row r="1" spans="1:8" s="1" customFormat="1" x14ac:dyDescent="0.25">
      <c r="A1" s="1" t="s">
        <v>26</v>
      </c>
      <c r="B1" s="1" t="s">
        <v>27</v>
      </c>
      <c r="C1" s="1" t="s">
        <v>28</v>
      </c>
      <c r="D1" s="1" t="s">
        <v>29</v>
      </c>
      <c r="E1" s="1" t="s">
        <v>30</v>
      </c>
      <c r="F1" s="1" t="s">
        <v>31</v>
      </c>
    </row>
    <row r="2" spans="1:8" x14ac:dyDescent="0.25">
      <c r="A2" t="s">
        <v>15</v>
      </c>
      <c r="B2" s="2">
        <v>697.6</v>
      </c>
      <c r="C2" s="2">
        <v>624</v>
      </c>
      <c r="D2" s="2">
        <v>621.5</v>
      </c>
      <c r="E2" s="2">
        <f>AVERAGE(B2:D2)</f>
        <v>647.69999999999993</v>
      </c>
      <c r="F2" s="2">
        <f>_xlfn.STDEV.P(B2:D2)</f>
        <v>35.299386208072619</v>
      </c>
      <c r="G2" s="2"/>
      <c r="H2" s="2"/>
    </row>
    <row r="3" spans="1:8" x14ac:dyDescent="0.25">
      <c r="A3" t="s">
        <v>16</v>
      </c>
      <c r="B3" s="2">
        <v>655.20000000000005</v>
      </c>
      <c r="C3" s="2">
        <v>628.20000000000005</v>
      </c>
      <c r="D3" s="2">
        <v>621.9</v>
      </c>
      <c r="E3" s="2">
        <f t="shared" ref="E3:E11" si="0">AVERAGE(B3:D3)</f>
        <v>635.1</v>
      </c>
      <c r="F3" s="2">
        <f t="shared" ref="F3:F11" si="1">_xlfn.STDEV.P(B3:D3)</f>
        <v>14.443683740652887</v>
      </c>
      <c r="G3" s="2"/>
      <c r="H3" s="2"/>
    </row>
    <row r="4" spans="1:8" x14ac:dyDescent="0.25">
      <c r="A4" t="s">
        <v>17</v>
      </c>
      <c r="B4" s="2">
        <v>794.1</v>
      </c>
      <c r="C4" s="2">
        <v>800.3</v>
      </c>
      <c r="D4" s="2">
        <v>807.1</v>
      </c>
      <c r="E4" s="2">
        <f t="shared" si="0"/>
        <v>800.5</v>
      </c>
      <c r="F4" s="2">
        <f t="shared" si="1"/>
        <v>5.3091116645505467</v>
      </c>
      <c r="G4" s="2"/>
      <c r="H4" s="2"/>
    </row>
    <row r="5" spans="1:8" x14ac:dyDescent="0.25">
      <c r="A5" t="s">
        <v>18</v>
      </c>
      <c r="B5" s="2">
        <v>546.1</v>
      </c>
      <c r="C5" s="2">
        <v>541.6</v>
      </c>
      <c r="D5" s="2">
        <v>543.6</v>
      </c>
      <c r="E5" s="2">
        <f t="shared" si="0"/>
        <v>543.76666666666677</v>
      </c>
      <c r="F5" s="2">
        <f t="shared" si="1"/>
        <v>1.8408935028645437</v>
      </c>
      <c r="G5" s="2"/>
      <c r="H5" s="2"/>
    </row>
    <row r="6" spans="1:8" x14ac:dyDescent="0.25">
      <c r="A6" t="s">
        <v>19</v>
      </c>
      <c r="B6" s="2">
        <v>874.6</v>
      </c>
      <c r="C6" s="2">
        <v>834.9</v>
      </c>
      <c r="D6" s="2">
        <v>844.9</v>
      </c>
      <c r="E6" s="2">
        <f t="shared" si="0"/>
        <v>851.4666666666667</v>
      </c>
      <c r="F6" s="2">
        <f t="shared" si="1"/>
        <v>16.859484636910551</v>
      </c>
      <c r="G6" s="2"/>
      <c r="H6" s="2"/>
    </row>
    <row r="7" spans="1:8" x14ac:dyDescent="0.25">
      <c r="A7" t="s">
        <v>20</v>
      </c>
      <c r="B7" s="2">
        <v>2150.6999999999998</v>
      </c>
      <c r="C7" s="2">
        <v>2110.4</v>
      </c>
      <c r="D7" s="2">
        <v>2128.6999999999998</v>
      </c>
      <c r="E7" s="2">
        <f t="shared" si="0"/>
        <v>2129.9333333333334</v>
      </c>
      <c r="F7" s="2">
        <f t="shared" si="1"/>
        <v>16.475503701623772</v>
      </c>
      <c r="G7" s="2"/>
      <c r="H7" s="2"/>
    </row>
    <row r="8" spans="1:8" x14ac:dyDescent="0.25">
      <c r="A8" t="s">
        <v>21</v>
      </c>
      <c r="B8" s="2">
        <v>1814.5</v>
      </c>
      <c r="C8" s="2">
        <v>1835.3</v>
      </c>
      <c r="D8" s="2">
        <v>1845.5</v>
      </c>
      <c r="E8" s="2">
        <f t="shared" si="0"/>
        <v>1831.7666666666667</v>
      </c>
      <c r="F8" s="2">
        <f t="shared" si="1"/>
        <v>12.899956933605973</v>
      </c>
      <c r="G8" s="2"/>
      <c r="H8" s="2"/>
    </row>
    <row r="9" spans="1:8" x14ac:dyDescent="0.25">
      <c r="A9" t="s">
        <v>22</v>
      </c>
      <c r="B9" s="2">
        <v>1303</v>
      </c>
      <c r="C9" s="2">
        <v>1315.5</v>
      </c>
      <c r="D9" s="2">
        <v>1341.7</v>
      </c>
      <c r="E9" s="2">
        <f t="shared" si="0"/>
        <v>1320.0666666666666</v>
      </c>
      <c r="F9" s="2">
        <f t="shared" si="1"/>
        <v>16.125824698979674</v>
      </c>
      <c r="G9" s="2"/>
      <c r="H9" s="2"/>
    </row>
    <row r="10" spans="1:8" x14ac:dyDescent="0.25">
      <c r="A10" t="s">
        <v>23</v>
      </c>
      <c r="B10" s="2">
        <v>5406.1</v>
      </c>
      <c r="C10" s="2">
        <v>5376</v>
      </c>
      <c r="D10" s="2">
        <v>5388.8</v>
      </c>
      <c r="E10" s="2">
        <f t="shared" si="0"/>
        <v>5390.3</v>
      </c>
      <c r="F10" s="2">
        <f t="shared" si="1"/>
        <v>12.333963947842166</v>
      </c>
      <c r="G10" s="2"/>
      <c r="H10" s="2"/>
    </row>
    <row r="11" spans="1:8" x14ac:dyDescent="0.25">
      <c r="A11" t="s">
        <v>24</v>
      </c>
      <c r="B11" s="2">
        <v>7129.6</v>
      </c>
      <c r="C11" s="2">
        <v>7092.3</v>
      </c>
      <c r="D11" s="2">
        <v>7083.4</v>
      </c>
      <c r="E11" s="2">
        <f t="shared" si="0"/>
        <v>7101.7666666666673</v>
      </c>
      <c r="F11" s="2">
        <f t="shared" si="1"/>
        <v>20.013717517964995</v>
      </c>
      <c r="G11" s="2"/>
      <c r="H11" s="2"/>
    </row>
    <row r="12" spans="1:8" x14ac:dyDescent="0.25">
      <c r="B12" s="2"/>
      <c r="C12" s="2"/>
      <c r="D12" s="2"/>
      <c r="E12" s="2"/>
      <c r="F12" s="2"/>
      <c r="G12" s="2"/>
      <c r="H12" s="2"/>
    </row>
    <row r="13" spans="1:8" x14ac:dyDescent="0.25">
      <c r="A13" s="1" t="s">
        <v>10</v>
      </c>
      <c r="B13" s="2">
        <f>SUM(B2:B11)/10</f>
        <v>2137.15</v>
      </c>
      <c r="C13" s="2">
        <f t="shared" ref="C13:F13" si="2">SUM(C2:C11)/10</f>
        <v>2115.85</v>
      </c>
      <c r="D13" s="2">
        <f t="shared" si="2"/>
        <v>2122.71</v>
      </c>
      <c r="E13" s="2">
        <f t="shared" si="2"/>
        <v>2125.2366666666667</v>
      </c>
      <c r="F13" s="2">
        <f t="shared" si="2"/>
        <v>15.160152655306774</v>
      </c>
      <c r="G13" s="2"/>
      <c r="H13" s="2"/>
    </row>
    <row r="15" spans="1:8" x14ac:dyDescent="0.25">
      <c r="A15" t="s">
        <v>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WASM_Objekterkennung</vt:lpstr>
      <vt:lpstr>WebGPU_Objekterkennung</vt:lpstr>
      <vt:lpstr>WebGPU_Übersetzung</vt:lpstr>
      <vt:lpstr>WASM_Übersetzung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Orth</dc:creator>
  <cp:lastModifiedBy>Lucas Orth</cp:lastModifiedBy>
  <dcterms:created xsi:type="dcterms:W3CDTF">2025-03-18T08:28:58Z</dcterms:created>
  <dcterms:modified xsi:type="dcterms:W3CDTF">2025-03-20T07:08:18Z</dcterms:modified>
</cp:coreProperties>
</file>